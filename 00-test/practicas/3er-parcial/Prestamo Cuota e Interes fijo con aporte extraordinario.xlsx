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los Ferrer\Borrar\"/>
    </mc:Choice>
  </mc:AlternateContent>
  <xr:revisionPtr revIDLastSave="0" documentId="13_ncr:1_{F299CD37-10C0-45EF-A992-8F529965559E}" xr6:coauthVersionLast="47" xr6:coauthVersionMax="47" xr10:uidLastSave="{00000000-0000-0000-0000-000000000000}"/>
  <bookViews>
    <workbookView xWindow="-120" yWindow="-120" windowWidth="20730" windowHeight="11160" firstSheet="1" activeTab="1" xr2:uid="{95DBC383-759C-4A4D-8FF7-0173B290300C}"/>
  </bookViews>
  <sheets>
    <sheet name="Cresdito Sin aporte extra" sheetId="3" state="hidden" r:id="rId1"/>
    <sheet name="Cresdito Interes y cuota fija" sheetId="4" r:id="rId2"/>
    <sheet name="Hoja1" sheetId="5" state="hidden" r:id="rId3"/>
  </sheets>
  <definedNames>
    <definedName name="Meses">Hoja1!$C$3:$C$6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4" l="1"/>
  <c r="H60" i="4"/>
  <c r="E12" i="4"/>
  <c r="I11" i="4"/>
  <c r="F35" i="3"/>
  <c r="E35" i="3"/>
  <c r="C13" i="3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12" i="3"/>
  <c r="D11" i="3"/>
  <c r="E11" i="3"/>
  <c r="F12" i="4" l="1"/>
  <c r="G12" i="4" s="1"/>
  <c r="F11" i="3"/>
  <c r="G11" i="3"/>
  <c r="I11" i="3" s="1"/>
  <c r="D12" i="3"/>
  <c r="I12" i="4" l="1"/>
  <c r="D13" i="4" s="1"/>
  <c r="C13" i="4" s="1"/>
  <c r="E12" i="3"/>
  <c r="D13" i="3"/>
  <c r="E13" i="4" l="1"/>
  <c r="D14" i="3"/>
  <c r="F12" i="3"/>
  <c r="F13" i="4" l="1"/>
  <c r="G13" i="4" s="1"/>
  <c r="G12" i="3"/>
  <c r="I12" i="3" s="1"/>
  <c r="D15" i="3"/>
  <c r="I13" i="4" l="1"/>
  <c r="D14" i="4" s="1"/>
  <c r="C14" i="4" s="1"/>
  <c r="D16" i="3"/>
  <c r="D17" i="3" s="1"/>
  <c r="E13" i="3"/>
  <c r="E14" i="4" l="1"/>
  <c r="F14" i="4" s="1"/>
  <c r="G14" i="4" s="1"/>
  <c r="D18" i="3"/>
  <c r="F13" i="3"/>
  <c r="D19" i="3" l="1"/>
  <c r="D20" i="3" s="1"/>
  <c r="D21" i="3" s="1"/>
  <c r="D22" i="3" s="1"/>
  <c r="D23" i="3" s="1"/>
  <c r="D24" i="3" s="1"/>
  <c r="D25" i="3" s="1"/>
  <c r="G13" i="3"/>
  <c r="I13" i="3" s="1"/>
  <c r="I14" i="4" l="1"/>
  <c r="D15" i="4" s="1"/>
  <c r="C15" i="4" s="1"/>
  <c r="D26" i="3"/>
  <c r="E14" i="3"/>
  <c r="F14" i="3" s="1"/>
  <c r="E15" i="4" l="1"/>
  <c r="D27" i="3"/>
  <c r="G14" i="3"/>
  <c r="I14" i="3" s="1"/>
  <c r="F15" i="4" l="1"/>
  <c r="G15" i="4" s="1"/>
  <c r="D28" i="3"/>
  <c r="E15" i="3"/>
  <c r="F15" i="3" s="1"/>
  <c r="G15" i="3" s="1"/>
  <c r="I15" i="3" s="1"/>
  <c r="I15" i="4" l="1"/>
  <c r="D16" i="4" s="1"/>
  <c r="C16" i="4" s="1"/>
  <c r="D29" i="3"/>
  <c r="E16" i="3"/>
  <c r="E16" i="4" l="1"/>
  <c r="F16" i="4" s="1"/>
  <c r="G16" i="4" s="1"/>
  <c r="D30" i="3"/>
  <c r="F16" i="3"/>
  <c r="D31" i="3" l="1"/>
  <c r="G16" i="3"/>
  <c r="I16" i="3" s="1"/>
  <c r="E17" i="3" s="1"/>
  <c r="F17" i="3" s="1"/>
  <c r="G17" i="3" s="1"/>
  <c r="I17" i="3" s="1"/>
  <c r="E18" i="3" s="1"/>
  <c r="F18" i="3" s="1"/>
  <c r="G18" i="3" s="1"/>
  <c r="I18" i="3" s="1"/>
  <c r="E19" i="3" s="1"/>
  <c r="F19" i="3" s="1"/>
  <c r="G19" i="3" s="1"/>
  <c r="I19" i="3" s="1"/>
  <c r="E20" i="3" s="1"/>
  <c r="F20" i="3" s="1"/>
  <c r="G20" i="3" s="1"/>
  <c r="I20" i="3" s="1"/>
  <c r="E21" i="3" s="1"/>
  <c r="F21" i="3" s="1"/>
  <c r="G21" i="3" s="1"/>
  <c r="I21" i="3" s="1"/>
  <c r="E22" i="3" s="1"/>
  <c r="F22" i="3" s="1"/>
  <c r="G22" i="3" s="1"/>
  <c r="I22" i="3" s="1"/>
  <c r="E23" i="3" s="1"/>
  <c r="F23" i="3" s="1"/>
  <c r="G23" i="3" s="1"/>
  <c r="I23" i="3" s="1"/>
  <c r="E24" i="3" s="1"/>
  <c r="F24" i="3" s="1"/>
  <c r="G24" i="3" s="1"/>
  <c r="I24" i="3" s="1"/>
  <c r="E25" i="3" s="1"/>
  <c r="F25" i="3" s="1"/>
  <c r="G25" i="3" s="1"/>
  <c r="I25" i="3" s="1"/>
  <c r="E26" i="3" s="1"/>
  <c r="F26" i="3" s="1"/>
  <c r="G26" i="3" s="1"/>
  <c r="I26" i="3" s="1"/>
  <c r="E27" i="3" s="1"/>
  <c r="F27" i="3" s="1"/>
  <c r="G27" i="3" s="1"/>
  <c r="I27" i="3" s="1"/>
  <c r="E28" i="3" s="1"/>
  <c r="F28" i="3" s="1"/>
  <c r="G28" i="3" s="1"/>
  <c r="I28" i="3" s="1"/>
  <c r="E29" i="3" s="1"/>
  <c r="F29" i="3" s="1"/>
  <c r="G29" i="3" s="1"/>
  <c r="I29" i="3" s="1"/>
  <c r="E30" i="3" s="1"/>
  <c r="F30" i="3" s="1"/>
  <c r="G30" i="3" s="1"/>
  <c r="I30" i="3" s="1"/>
  <c r="I16" i="4" l="1"/>
  <c r="D17" i="4" s="1"/>
  <c r="C17" i="4" s="1"/>
  <c r="E31" i="3"/>
  <c r="F31" i="3" s="1"/>
  <c r="G31" i="3" s="1"/>
  <c r="I31" i="3" s="1"/>
  <c r="D32" i="3"/>
  <c r="E17" i="4" l="1"/>
  <c r="E32" i="3"/>
  <c r="F32" i="3"/>
  <c r="G32" i="3" s="1"/>
  <c r="I32" i="3" s="1"/>
  <c r="D33" i="3"/>
  <c r="F17" i="4" l="1"/>
  <c r="G17" i="4" s="1"/>
  <c r="I17" i="4" s="1"/>
  <c r="D18" i="4" s="1"/>
  <c r="C18" i="4" s="1"/>
  <c r="E33" i="3"/>
  <c r="F33" i="3"/>
  <c r="G33" i="3" s="1"/>
  <c r="I33" i="3" s="1"/>
  <c r="D34" i="3"/>
  <c r="E18" i="4" l="1"/>
  <c r="E34" i="3"/>
  <c r="F34" i="3" s="1"/>
  <c r="G34" i="3" s="1"/>
  <c r="I34" i="3" s="1"/>
  <c r="F18" i="4" l="1"/>
  <c r="G18" i="4" l="1"/>
  <c r="I18" i="4" s="1"/>
  <c r="D19" i="4" s="1"/>
  <c r="C19" i="4" s="1"/>
  <c r="E19" i="4" l="1"/>
  <c r="F19" i="4" s="1"/>
  <c r="G19" i="4" l="1"/>
  <c r="I19" i="4" s="1"/>
  <c r="D20" i="4" s="1"/>
  <c r="C20" i="4" s="1"/>
  <c r="E20" i="4" l="1"/>
  <c r="F20" i="4" s="1"/>
  <c r="G20" i="4" l="1"/>
  <c r="I20" i="4" s="1"/>
  <c r="D21" i="4" s="1"/>
  <c r="C21" i="4" s="1"/>
  <c r="E21" i="4" l="1"/>
  <c r="F21" i="4" s="1"/>
  <c r="G21" i="4" l="1"/>
  <c r="I21" i="4" s="1"/>
  <c r="D22" i="4" s="1"/>
  <c r="C22" i="4" s="1"/>
  <c r="E22" i="4" l="1"/>
  <c r="F22" i="4" l="1"/>
  <c r="G22" i="4" s="1"/>
  <c r="I22" i="4" s="1"/>
  <c r="D23" i="4" s="1"/>
  <c r="C23" i="4" s="1"/>
  <c r="E23" i="4" l="1"/>
  <c r="F23" i="4" s="1"/>
  <c r="G23" i="4" l="1"/>
  <c r="I23" i="4" s="1"/>
  <c r="D24" i="4" s="1"/>
  <c r="C24" i="4" s="1"/>
  <c r="E24" i="4" l="1"/>
  <c r="F24" i="4" s="1"/>
  <c r="G24" i="4" l="1"/>
  <c r="I24" i="4" s="1"/>
  <c r="D25" i="4" s="1"/>
  <c r="C25" i="4" s="1"/>
  <c r="E25" i="4" l="1"/>
  <c r="F25" i="4" s="1"/>
  <c r="G25" i="4" l="1"/>
  <c r="I25" i="4" s="1"/>
  <c r="D26" i="4" s="1"/>
  <c r="C26" i="4" s="1"/>
  <c r="E26" i="4" l="1"/>
  <c r="F26" i="4" s="1"/>
  <c r="G26" i="4" l="1"/>
  <c r="I26" i="4" s="1"/>
  <c r="D27" i="4" s="1"/>
  <c r="C27" i="4" s="1"/>
  <c r="E27" i="4" l="1"/>
  <c r="F27" i="4" s="1"/>
  <c r="G27" i="4" s="1"/>
  <c r="I27" i="4" l="1"/>
  <c r="D28" i="4" s="1"/>
  <c r="C28" i="4" s="1"/>
  <c r="E28" i="4" l="1"/>
  <c r="F28" i="4" s="1"/>
  <c r="G28" i="4" s="1"/>
  <c r="I28" i="4" s="1"/>
  <c r="D29" i="4" s="1"/>
  <c r="C29" i="4" s="1"/>
  <c r="E29" i="4" l="1"/>
  <c r="F29" i="4" s="1"/>
  <c r="G29" i="4" l="1"/>
  <c r="I29" i="4" s="1"/>
  <c r="D30" i="4" s="1"/>
  <c r="C30" i="4" s="1"/>
  <c r="E30" i="4" l="1"/>
  <c r="F30" i="4" l="1"/>
  <c r="G30" i="4" s="1"/>
  <c r="I30" i="4" s="1"/>
  <c r="D31" i="4" s="1"/>
  <c r="C31" i="4" s="1"/>
  <c r="E31" i="4" l="1"/>
  <c r="F31" i="4" l="1"/>
  <c r="G31" i="4" s="1"/>
  <c r="I31" i="4" s="1"/>
  <c r="D32" i="4" s="1"/>
  <c r="C32" i="4" s="1"/>
  <c r="E32" i="4" l="1"/>
  <c r="F32" i="4" l="1"/>
  <c r="G32" i="4" s="1"/>
  <c r="I32" i="4" s="1"/>
  <c r="D33" i="4" s="1"/>
  <c r="C33" i="4" s="1"/>
  <c r="E33" i="4" l="1"/>
  <c r="F33" i="4" s="1"/>
  <c r="G33" i="4" s="1"/>
  <c r="I33" i="4" l="1"/>
  <c r="D34" i="4" s="1"/>
  <c r="C34" i="4" s="1"/>
  <c r="E34" i="4" l="1"/>
  <c r="F34" i="4" s="1"/>
  <c r="G34" i="4" l="1"/>
  <c r="I34" i="4" s="1"/>
  <c r="D35" i="4" s="1"/>
  <c r="C35" i="4" s="1"/>
  <c r="E35" i="4" l="1"/>
  <c r="F35" i="4" s="1"/>
  <c r="G35" i="4" l="1"/>
  <c r="I35" i="4" s="1"/>
  <c r="D36" i="4" s="1"/>
  <c r="C36" i="4" s="1"/>
  <c r="E36" i="4" l="1"/>
  <c r="F36" i="4" s="1"/>
  <c r="G36" i="4" l="1"/>
  <c r="I36" i="4" s="1"/>
  <c r="D37" i="4" s="1"/>
  <c r="C37" i="4" s="1"/>
  <c r="E37" i="4" l="1"/>
  <c r="F37" i="4" s="1"/>
  <c r="G37" i="4" s="1"/>
  <c r="I37" i="4" s="1"/>
  <c r="D38" i="4" s="1"/>
  <c r="C38" i="4" s="1"/>
  <c r="E38" i="4" l="1"/>
  <c r="F38" i="4" s="1"/>
  <c r="G38" i="4" s="1"/>
  <c r="I38" i="4" l="1"/>
  <c r="D39" i="4" s="1"/>
  <c r="C39" i="4" s="1"/>
  <c r="E39" i="4" l="1"/>
  <c r="F39" i="4" s="1"/>
  <c r="G39" i="4" s="1"/>
  <c r="I39" i="4" l="1"/>
  <c r="D40" i="4" s="1"/>
  <c r="C40" i="4" s="1"/>
  <c r="E40" i="4" l="1"/>
  <c r="F40" i="4" s="1"/>
  <c r="G40" i="4" s="1"/>
  <c r="I40" i="4" l="1"/>
  <c r="D41" i="4" s="1"/>
  <c r="C41" i="4" s="1"/>
  <c r="E41" i="4" l="1"/>
  <c r="F41" i="4" s="1"/>
  <c r="G41" i="4" s="1"/>
  <c r="I41" i="4" l="1"/>
  <c r="D42" i="4" s="1"/>
  <c r="C42" i="4" s="1"/>
  <c r="E42" i="4" l="1"/>
  <c r="F42" i="4" s="1"/>
  <c r="G42" i="4" s="1"/>
  <c r="I42" i="4" l="1"/>
  <c r="D43" i="4" s="1"/>
  <c r="C43" i="4" s="1"/>
  <c r="E43" i="4" l="1"/>
  <c r="F43" i="4" s="1"/>
  <c r="G43" i="4" s="1"/>
  <c r="I43" i="4" l="1"/>
  <c r="D44" i="4" s="1"/>
  <c r="C44" i="4" s="1"/>
  <c r="E44" i="4" l="1"/>
  <c r="F44" i="4" s="1"/>
  <c r="G44" i="4" s="1"/>
  <c r="I44" i="4" l="1"/>
  <c r="D45" i="4" s="1"/>
  <c r="C45" i="4" s="1"/>
  <c r="E45" i="4" l="1"/>
  <c r="F45" i="4" s="1"/>
  <c r="G45" i="4" s="1"/>
  <c r="I45" i="4" l="1"/>
  <c r="D46" i="4" s="1"/>
  <c r="C46" i="4" s="1"/>
  <c r="E46" i="4" l="1"/>
  <c r="F46" i="4" s="1"/>
  <c r="G46" i="4" l="1"/>
  <c r="I46" i="4" s="1"/>
  <c r="D47" i="4" s="1"/>
  <c r="C47" i="4" s="1"/>
  <c r="E47" i="4" l="1"/>
  <c r="F47" i="4" s="1"/>
  <c r="G47" i="4" s="1"/>
  <c r="I47" i="4" s="1"/>
  <c r="D48" i="4" s="1"/>
  <c r="C48" i="4" s="1"/>
  <c r="E48" i="4" l="1"/>
  <c r="F48" i="4" s="1"/>
  <c r="G48" i="4" s="1"/>
  <c r="I48" i="4" l="1"/>
  <c r="D49" i="4" s="1"/>
  <c r="C49" i="4" s="1"/>
  <c r="E49" i="4" l="1"/>
  <c r="F49" i="4" s="1"/>
  <c r="G49" i="4" s="1"/>
  <c r="I49" i="4" s="1"/>
  <c r="D50" i="4" s="1"/>
  <c r="C50" i="4" s="1"/>
  <c r="E50" i="4" l="1"/>
  <c r="F50" i="4" s="1"/>
  <c r="G50" i="4" s="1"/>
  <c r="I50" i="4" s="1"/>
  <c r="D51" i="4" s="1"/>
  <c r="C51" i="4" s="1"/>
  <c r="E51" i="4" l="1"/>
  <c r="F51" i="4" s="1"/>
  <c r="G51" i="4" s="1"/>
  <c r="I51" i="4" l="1"/>
  <c r="D52" i="4" s="1"/>
  <c r="C52" i="4" s="1"/>
  <c r="E52" i="4" l="1"/>
  <c r="F52" i="4" s="1"/>
  <c r="G52" i="4" s="1"/>
  <c r="I52" i="4" l="1"/>
  <c r="D53" i="4" s="1"/>
  <c r="C53" i="4" s="1"/>
  <c r="E53" i="4" l="1"/>
  <c r="F53" i="4" s="1"/>
  <c r="G53" i="4" s="1"/>
  <c r="I53" i="4" l="1"/>
  <c r="D54" i="4" s="1"/>
  <c r="C54" i="4" s="1"/>
  <c r="E54" i="4" l="1"/>
  <c r="F54" i="4" s="1"/>
  <c r="G54" i="4" s="1"/>
  <c r="I54" i="4" l="1"/>
  <c r="D55" i="4" s="1"/>
  <c r="C55" i="4" s="1"/>
  <c r="E55" i="4" l="1"/>
  <c r="F55" i="4" s="1"/>
  <c r="G55" i="4" s="1"/>
  <c r="I55" i="4" l="1"/>
  <c r="D56" i="4" s="1"/>
  <c r="C56" i="4" s="1"/>
  <c r="E56" i="4" l="1"/>
  <c r="F56" i="4" s="1"/>
  <c r="G56" i="4" s="1"/>
  <c r="I56" i="4" s="1"/>
  <c r="D57" i="4" s="1"/>
  <c r="C57" i="4" s="1"/>
  <c r="E57" i="4" l="1"/>
  <c r="F57" i="4" l="1"/>
  <c r="G57" i="4" s="1"/>
  <c r="I57" i="4" l="1"/>
  <c r="D58" i="4" s="1"/>
  <c r="C58" i="4" s="1"/>
  <c r="E58" i="4" l="1"/>
  <c r="F58" i="4" l="1"/>
  <c r="G58" i="4" s="1"/>
  <c r="I58" i="4" l="1"/>
  <c r="D59" i="4" s="1"/>
  <c r="C59" i="4" s="1"/>
  <c r="E59" i="4" l="1"/>
  <c r="F59" i="4" s="1"/>
  <c r="G59" i="4" s="1"/>
  <c r="E60" i="4" l="1"/>
  <c r="F60" i="4"/>
  <c r="I59" i="4"/>
</calcChain>
</file>

<file path=xl/sharedStrings.xml><?xml version="1.0" encoding="utf-8"?>
<sst xmlns="http://schemas.openxmlformats.org/spreadsheetml/2006/main" count="28" uniqueCount="23">
  <si>
    <t>Deuda final</t>
  </si>
  <si>
    <t xml:space="preserve">Deuda </t>
  </si>
  <si>
    <t>Interes pagado</t>
  </si>
  <si>
    <t>Cuota Mensual</t>
  </si>
  <si>
    <t>Periodo (meses)</t>
  </si>
  <si>
    <t>Interes(%)</t>
  </si>
  <si>
    <t>Monto($)</t>
  </si>
  <si>
    <t>Total</t>
  </si>
  <si>
    <t>Pagado del 
Monto solicitado</t>
  </si>
  <si>
    <t>Aporte Extraordinario</t>
  </si>
  <si>
    <t>Cuota =</t>
  </si>
  <si>
    <t>Monto*Interes</t>
  </si>
  <si>
    <r>
      <t>1 - (Interes+1)</t>
    </r>
    <r>
      <rPr>
        <b/>
        <vertAlign val="superscript"/>
        <sz val="11"/>
        <color theme="1"/>
        <rFont val="Calibri"/>
        <family val="2"/>
        <scheme val="minor"/>
      </rPr>
      <t>-Periodo</t>
    </r>
  </si>
  <si>
    <t>MES</t>
  </si>
  <si>
    <t>Cuota Mensual
($)</t>
  </si>
  <si>
    <t>Interes pagado
(Monto por pagar x Interes)
($)</t>
  </si>
  <si>
    <t>Aporte al Prestamo
(Cuota - Interes Pagado)
($)</t>
  </si>
  <si>
    <t>Aporte Extraordinario
($)</t>
  </si>
  <si>
    <t>Monto por Pagar
(Deuda actual - Aporte Extraordinario)
($)</t>
  </si>
  <si>
    <r>
      <t>1 - (Interes+1)</t>
    </r>
    <r>
      <rPr>
        <b/>
        <vertAlign val="superscript"/>
        <sz val="11"/>
        <color theme="1"/>
        <rFont val="Comic Sans MS"/>
        <family val="4"/>
      </rPr>
      <t>-Periodo</t>
    </r>
  </si>
  <si>
    <t>Total ($)</t>
  </si>
  <si>
    <t>Elaborado Por: Carlos Ferrer</t>
  </si>
  <si>
    <t xml:space="preserve">Deuda
Actual
(Monto por pagar - 
Aporte al Prestamo)
($)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</si>
</sst>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#,##0.00_ ;\-#,##0.0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1"/>
      <name val="Comic Sans MS"/>
      <family val="4"/>
    </font>
    <font>
      <b/>
      <sz val="11"/>
      <color theme="1"/>
      <name val="Comic Sans MS"/>
      <family val="4"/>
    </font>
    <font>
      <b/>
      <vertAlign val="superscript"/>
      <sz val="11"/>
      <color theme="1"/>
      <name val="Comic Sans MS"/>
      <family val="4"/>
    </font>
    <font>
      <b/>
      <sz val="10"/>
      <color theme="1"/>
      <name val="Comic Sans MS"/>
      <family val="4"/>
    </font>
    <font>
      <sz val="10"/>
      <color theme="1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vertical="center"/>
    </xf>
    <xf numFmtId="0" fontId="0" fillId="0" borderId="11" xfId="0" applyBorder="1"/>
    <xf numFmtId="0" fontId="2" fillId="3" borderId="11" xfId="0" applyFont="1" applyFill="1" applyBorder="1"/>
    <xf numFmtId="9" fontId="0" fillId="0" borderId="11" xfId="1" applyFont="1" applyBorder="1"/>
    <xf numFmtId="164" fontId="0" fillId="0" borderId="11" xfId="0" applyNumberFormat="1" applyBorder="1"/>
    <xf numFmtId="0" fontId="2" fillId="2" borderId="11" xfId="0" applyFont="1" applyFill="1" applyBorder="1" applyAlignment="1">
      <alignment horizontal="right"/>
    </xf>
    <xf numFmtId="0" fontId="2" fillId="0" borderId="0" xfId="0" applyFont="1"/>
    <xf numFmtId="0" fontId="4" fillId="0" borderId="0" xfId="0" applyFont="1"/>
    <xf numFmtId="0" fontId="4" fillId="2" borderId="13" xfId="0" applyFont="1" applyFill="1" applyBorder="1"/>
    <xf numFmtId="0" fontId="4" fillId="2" borderId="14" xfId="0" applyFont="1" applyFill="1" applyBorder="1"/>
    <xf numFmtId="0" fontId="4" fillId="2" borderId="15" xfId="0" applyFont="1" applyFill="1" applyBorder="1"/>
    <xf numFmtId="0" fontId="5" fillId="3" borderId="11" xfId="0" applyFont="1" applyFill="1" applyBorder="1"/>
    <xf numFmtId="164" fontId="4" fillId="0" borderId="0" xfId="0" applyNumberFormat="1" applyFont="1"/>
    <xf numFmtId="0" fontId="4" fillId="2" borderId="20" xfId="0" applyFont="1" applyFill="1" applyBorder="1"/>
    <xf numFmtId="0" fontId="5" fillId="2" borderId="0" xfId="0" applyFont="1" applyFill="1" applyBorder="1"/>
    <xf numFmtId="0" fontId="4" fillId="2" borderId="18" xfId="0" applyFont="1" applyFill="1" applyBorder="1"/>
    <xf numFmtId="0" fontId="4" fillId="2" borderId="12" xfId="0" applyFont="1" applyFill="1" applyBorder="1"/>
    <xf numFmtId="0" fontId="4" fillId="2" borderId="17" xfId="0" applyFont="1" applyFill="1" applyBorder="1"/>
    <xf numFmtId="9" fontId="5" fillId="0" borderId="11" xfId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5" fontId="5" fillId="0" borderId="11" xfId="0" applyNumberFormat="1" applyFont="1" applyBorder="1" applyAlignment="1">
      <alignment horizontal="center"/>
    </xf>
    <xf numFmtId="0" fontId="7" fillId="3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2" borderId="16" xfId="0" applyFont="1" applyFill="1" applyBorder="1" applyAlignment="1">
      <alignment horizontal="right"/>
    </xf>
    <xf numFmtId="0" fontId="4" fillId="2" borderId="0" xfId="0" applyFont="1" applyFill="1" applyBorder="1"/>
    <xf numFmtId="0" fontId="4" fillId="2" borderId="19" xfId="0" applyFont="1" applyFill="1" applyBorder="1"/>
    <xf numFmtId="4" fontId="7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4" fontId="7" fillId="0" borderId="7" xfId="0" applyNumberFormat="1" applyFont="1" applyBorder="1" applyAlignment="1">
      <alignment horizontal="center"/>
    </xf>
    <xf numFmtId="4" fontId="7" fillId="0" borderId="8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4" fontId="7" fillId="0" borderId="4" xfId="0" applyNumberFormat="1" applyFont="1" applyBorder="1" applyAlignment="1">
      <alignment horizontal="center"/>
    </xf>
    <xf numFmtId="4" fontId="7" fillId="0" borderId="5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4" fontId="7" fillId="0" borderId="2" xfId="0" applyNumberFormat="1" applyFont="1" applyBorder="1" applyAlignment="1">
      <alignment horizontal="center"/>
    </xf>
    <xf numFmtId="4" fontId="7" fillId="2" borderId="8" xfId="0" applyNumberFormat="1" applyFont="1" applyFill="1" applyBorder="1" applyAlignment="1">
      <alignment horizontal="center"/>
    </xf>
    <xf numFmtId="4" fontId="7" fillId="2" borderId="5" xfId="0" applyNumberFormat="1" applyFont="1" applyFill="1" applyBorder="1" applyAlignment="1">
      <alignment horizontal="center"/>
    </xf>
    <xf numFmtId="4" fontId="7" fillId="2" borderId="2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" xfId="0" applyFont="1" applyBorder="1" applyAlignment="1">
      <alignment horizontal="center"/>
    </xf>
    <xf numFmtId="4" fontId="7" fillId="0" borderId="16" xfId="0" applyNumberFormat="1" applyFont="1" applyBorder="1" applyAlignment="1">
      <alignment horizontal="center"/>
    </xf>
    <xf numFmtId="0" fontId="7" fillId="0" borderId="0" xfId="0" applyFont="1"/>
    <xf numFmtId="0" fontId="2" fillId="0" borderId="12" xfId="0" applyFont="1" applyBorder="1" applyAlignment="1">
      <alignment horizontal="center"/>
    </xf>
    <xf numFmtId="0" fontId="7" fillId="3" borderId="10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C9CE7-EE0B-49A7-81A3-D07A54478D73}">
  <dimension ref="C3:Z35"/>
  <sheetViews>
    <sheetView showGridLines="0" topLeftCell="B1" workbookViewId="0">
      <selection activeCell="J1" sqref="J1:AI1048576"/>
    </sheetView>
  </sheetViews>
  <sheetFormatPr baseColWidth="10" defaultRowHeight="15" x14ac:dyDescent="0.25"/>
  <cols>
    <col min="3" max="3" width="15.5703125" bestFit="1" customWidth="1"/>
    <col min="4" max="4" width="14.28515625" bestFit="1" customWidth="1"/>
    <col min="5" max="5" width="14.140625" bestFit="1" customWidth="1"/>
    <col min="6" max="6" width="16.140625" bestFit="1" customWidth="1"/>
    <col min="7" max="7" width="11.28515625" bestFit="1" customWidth="1"/>
    <col min="8" max="8" width="14.7109375" bestFit="1" customWidth="1"/>
    <col min="10" max="35" width="2" customWidth="1"/>
  </cols>
  <sheetData>
    <row r="3" spans="3:26" ht="15.75" thickBot="1" x14ac:dyDescent="0.3"/>
    <row r="4" spans="3:26" ht="15.75" thickBot="1" x14ac:dyDescent="0.3">
      <c r="C4" s="19" t="s">
        <v>6</v>
      </c>
      <c r="D4" s="21">
        <v>20000</v>
      </c>
      <c r="M4" s="23" t="s">
        <v>10</v>
      </c>
      <c r="N4" s="23"/>
      <c r="O4" s="23"/>
      <c r="P4" s="23"/>
      <c r="Q4" s="59" t="s">
        <v>11</v>
      </c>
      <c r="R4" s="59"/>
      <c r="S4" s="59"/>
      <c r="T4" s="59"/>
      <c r="U4" s="59"/>
      <c r="V4" s="59"/>
      <c r="W4" s="59"/>
      <c r="X4" s="59"/>
      <c r="Y4" s="59"/>
      <c r="Z4" s="23"/>
    </row>
    <row r="5" spans="3:26" ht="18" thickBot="1" x14ac:dyDescent="0.3">
      <c r="C5" s="19" t="s">
        <v>5</v>
      </c>
      <c r="D5" s="20">
        <v>0.03</v>
      </c>
      <c r="M5" s="23"/>
      <c r="N5" s="23"/>
      <c r="O5" s="23"/>
      <c r="P5" s="23"/>
      <c r="Q5" s="23" t="s">
        <v>12</v>
      </c>
      <c r="R5" s="23"/>
      <c r="S5" s="23"/>
      <c r="T5" s="23"/>
      <c r="U5" s="23"/>
      <c r="V5" s="23"/>
      <c r="W5" s="23"/>
      <c r="X5" s="23"/>
      <c r="Y5" s="23"/>
      <c r="Z5" s="23"/>
    </row>
    <row r="6" spans="3:26" ht="15.75" thickBot="1" x14ac:dyDescent="0.3">
      <c r="C6" s="19" t="s">
        <v>4</v>
      </c>
      <c r="D6" s="18">
        <v>24</v>
      </c>
    </row>
    <row r="9" spans="3:26" ht="15.75" thickBot="1" x14ac:dyDescent="0.3"/>
    <row r="10" spans="3:26" ht="30.75" thickBot="1" x14ac:dyDescent="0.3">
      <c r="D10" s="17" t="s">
        <v>3</v>
      </c>
      <c r="E10" s="17" t="s">
        <v>2</v>
      </c>
      <c r="F10" s="16" t="s">
        <v>8</v>
      </c>
      <c r="G10" s="16" t="s">
        <v>1</v>
      </c>
      <c r="H10" s="16" t="s">
        <v>9</v>
      </c>
      <c r="I10" s="16" t="s">
        <v>0</v>
      </c>
    </row>
    <row r="11" spans="3:26" x14ac:dyDescent="0.25">
      <c r="C11" s="15">
        <v>1</v>
      </c>
      <c r="D11" s="14">
        <f>(D4*D5)/(1-(D5+1)^-D6)</f>
        <v>1180.9483189793982</v>
      </c>
      <c r="E11" s="11">
        <f>D4*D5</f>
        <v>600</v>
      </c>
      <c r="F11" s="13">
        <f t="shared" ref="F11:F16" si="0">D11-E11</f>
        <v>580.94831897939821</v>
      </c>
      <c r="G11" s="11">
        <f>D4-F11</f>
        <v>19419.051681020603</v>
      </c>
      <c r="H11" s="12"/>
      <c r="I11" s="11">
        <f t="shared" ref="I11:I16" si="1">G11-H11</f>
        <v>19419.051681020603</v>
      </c>
    </row>
    <row r="12" spans="3:26" x14ac:dyDescent="0.25">
      <c r="C12" s="10">
        <f>C11+1</f>
        <v>2</v>
      </c>
      <c r="D12" s="9">
        <f>D11</f>
        <v>1180.9483189793982</v>
      </c>
      <c r="E12" s="6">
        <f>$D$5*I11</f>
        <v>582.571550430618</v>
      </c>
      <c r="F12" s="8">
        <f t="shared" si="0"/>
        <v>598.37676854878021</v>
      </c>
      <c r="G12" s="6">
        <f>I11-F12</f>
        <v>18820.674912471823</v>
      </c>
      <c r="H12" s="7"/>
      <c r="I12" s="6">
        <f t="shared" si="1"/>
        <v>18820.674912471823</v>
      </c>
    </row>
    <row r="13" spans="3:26" x14ac:dyDescent="0.25">
      <c r="C13" s="10">
        <f t="shared" ref="C13:C16" si="2">C12+1</f>
        <v>3</v>
      </c>
      <c r="D13" s="9">
        <f>D12</f>
        <v>1180.9483189793982</v>
      </c>
      <c r="E13" s="6">
        <f>$D$5*I12</f>
        <v>564.6202473741547</v>
      </c>
      <c r="F13" s="8">
        <f t="shared" si="0"/>
        <v>616.32807160524351</v>
      </c>
      <c r="G13" s="6">
        <f>I12-F13</f>
        <v>18204.346840866579</v>
      </c>
      <c r="H13" s="7"/>
      <c r="I13" s="6">
        <f t="shared" si="1"/>
        <v>18204.346840866579</v>
      </c>
    </row>
    <row r="14" spans="3:26" x14ac:dyDescent="0.25">
      <c r="C14" s="10">
        <f t="shared" si="2"/>
        <v>4</v>
      </c>
      <c r="D14" s="9">
        <f>D13</f>
        <v>1180.9483189793982</v>
      </c>
      <c r="E14" s="6">
        <f>$D$5*I13</f>
        <v>546.13040522599738</v>
      </c>
      <c r="F14" s="8">
        <f t="shared" si="0"/>
        <v>634.81791375340083</v>
      </c>
      <c r="G14" s="6">
        <f>I13-F14</f>
        <v>17569.528927113177</v>
      </c>
      <c r="H14" s="7"/>
      <c r="I14" s="6">
        <f t="shared" si="1"/>
        <v>17569.528927113177</v>
      </c>
    </row>
    <row r="15" spans="3:26" x14ac:dyDescent="0.25">
      <c r="C15" s="10">
        <f t="shared" si="2"/>
        <v>5</v>
      </c>
      <c r="D15" s="9">
        <f>D14</f>
        <v>1180.9483189793982</v>
      </c>
      <c r="E15" s="6">
        <f>$D$5*I14</f>
        <v>527.08586781339534</v>
      </c>
      <c r="F15" s="8">
        <f t="shared" si="0"/>
        <v>653.86245116600287</v>
      </c>
      <c r="G15" s="6">
        <f>I14-F15</f>
        <v>16915.666475947175</v>
      </c>
      <c r="H15" s="7"/>
      <c r="I15" s="6">
        <f t="shared" si="1"/>
        <v>16915.666475947175</v>
      </c>
    </row>
    <row r="16" spans="3:26" x14ac:dyDescent="0.25">
      <c r="C16" s="10">
        <f t="shared" si="2"/>
        <v>6</v>
      </c>
      <c r="D16" s="9">
        <f>D15</f>
        <v>1180.9483189793982</v>
      </c>
      <c r="E16" s="6">
        <f>$D$5*I15</f>
        <v>507.46999427841524</v>
      </c>
      <c r="F16" s="8">
        <f t="shared" si="0"/>
        <v>673.47832470098297</v>
      </c>
      <c r="G16" s="6">
        <f>I15-F16</f>
        <v>16242.188151246191</v>
      </c>
      <c r="H16" s="7"/>
      <c r="I16" s="6">
        <f t="shared" si="1"/>
        <v>16242.188151246191</v>
      </c>
    </row>
    <row r="17" spans="3:9" x14ac:dyDescent="0.25">
      <c r="C17" s="10">
        <f t="shared" ref="C17:C34" si="3">C16+1</f>
        <v>7</v>
      </c>
      <c r="D17" s="9">
        <f t="shared" ref="D17:D34" si="4">D16</f>
        <v>1180.9483189793982</v>
      </c>
      <c r="E17" s="6">
        <f t="shared" ref="E17:E34" si="5">$D$5*I16</f>
        <v>487.2656445373857</v>
      </c>
      <c r="F17" s="8">
        <f t="shared" ref="F17:F34" si="6">D17-E17</f>
        <v>693.68267444201251</v>
      </c>
      <c r="G17" s="6">
        <f t="shared" ref="G17:G34" si="7">I16-F17</f>
        <v>15548.505476804179</v>
      </c>
      <c r="H17" s="7"/>
      <c r="I17" s="6">
        <f t="shared" ref="I17:I34" si="8">G17-H17</f>
        <v>15548.505476804179</v>
      </c>
    </row>
    <row r="18" spans="3:9" x14ac:dyDescent="0.25">
      <c r="C18" s="10">
        <f t="shared" si="3"/>
        <v>8</v>
      </c>
      <c r="D18" s="9">
        <f t="shared" si="4"/>
        <v>1180.9483189793982</v>
      </c>
      <c r="E18" s="6">
        <f t="shared" si="5"/>
        <v>466.45516430412533</v>
      </c>
      <c r="F18" s="8">
        <f t="shared" si="6"/>
        <v>714.49315467527288</v>
      </c>
      <c r="G18" s="6">
        <f t="shared" si="7"/>
        <v>14834.012322128907</v>
      </c>
      <c r="H18" s="7"/>
      <c r="I18" s="6">
        <f t="shared" si="8"/>
        <v>14834.012322128907</v>
      </c>
    </row>
    <row r="19" spans="3:9" x14ac:dyDescent="0.25">
      <c r="C19" s="10">
        <f t="shared" si="3"/>
        <v>9</v>
      </c>
      <c r="D19" s="9">
        <f t="shared" si="4"/>
        <v>1180.9483189793982</v>
      </c>
      <c r="E19" s="6">
        <f t="shared" si="5"/>
        <v>445.0203696638672</v>
      </c>
      <c r="F19" s="8">
        <f t="shared" si="6"/>
        <v>735.92794931553101</v>
      </c>
      <c r="G19" s="6">
        <f t="shared" si="7"/>
        <v>14098.084372813375</v>
      </c>
      <c r="H19" s="7"/>
      <c r="I19" s="6">
        <f t="shared" si="8"/>
        <v>14098.084372813375</v>
      </c>
    </row>
    <row r="20" spans="3:9" x14ac:dyDescent="0.25">
      <c r="C20" s="10">
        <f t="shared" si="3"/>
        <v>10</v>
      </c>
      <c r="D20" s="9">
        <f t="shared" si="4"/>
        <v>1180.9483189793982</v>
      </c>
      <c r="E20" s="6">
        <f t="shared" si="5"/>
        <v>422.94253118440122</v>
      </c>
      <c r="F20" s="8">
        <f t="shared" si="6"/>
        <v>758.00578779499699</v>
      </c>
      <c r="G20" s="6">
        <f t="shared" si="7"/>
        <v>13340.078585018378</v>
      </c>
      <c r="H20" s="7"/>
      <c r="I20" s="6">
        <f t="shared" si="8"/>
        <v>13340.078585018378</v>
      </c>
    </row>
    <row r="21" spans="3:9" x14ac:dyDescent="0.25">
      <c r="C21" s="10">
        <f t="shared" si="3"/>
        <v>11</v>
      </c>
      <c r="D21" s="9">
        <f t="shared" si="4"/>
        <v>1180.9483189793982</v>
      </c>
      <c r="E21" s="6">
        <f t="shared" si="5"/>
        <v>400.20235755055131</v>
      </c>
      <c r="F21" s="8">
        <f t="shared" si="6"/>
        <v>780.74596142884684</v>
      </c>
      <c r="G21" s="6">
        <f t="shared" si="7"/>
        <v>12559.332623589531</v>
      </c>
      <c r="H21" s="7"/>
      <c r="I21" s="6">
        <f t="shared" si="8"/>
        <v>12559.332623589531</v>
      </c>
    </row>
    <row r="22" spans="3:9" x14ac:dyDescent="0.25">
      <c r="C22" s="10">
        <f t="shared" si="3"/>
        <v>12</v>
      </c>
      <c r="D22" s="9">
        <f t="shared" si="4"/>
        <v>1180.9483189793982</v>
      </c>
      <c r="E22" s="6">
        <f t="shared" si="5"/>
        <v>376.77997870768593</v>
      </c>
      <c r="F22" s="8">
        <f t="shared" si="6"/>
        <v>804.16834027171228</v>
      </c>
      <c r="G22" s="6">
        <f t="shared" si="7"/>
        <v>11755.164283317819</v>
      </c>
      <c r="H22" s="7"/>
      <c r="I22" s="6">
        <f t="shared" si="8"/>
        <v>11755.164283317819</v>
      </c>
    </row>
    <row r="23" spans="3:9" x14ac:dyDescent="0.25">
      <c r="C23" s="10">
        <f t="shared" si="3"/>
        <v>13</v>
      </c>
      <c r="D23" s="9">
        <f t="shared" si="4"/>
        <v>1180.9483189793982</v>
      </c>
      <c r="E23" s="6">
        <f t="shared" si="5"/>
        <v>352.65492849953455</v>
      </c>
      <c r="F23" s="8">
        <f t="shared" si="6"/>
        <v>828.29339047986366</v>
      </c>
      <c r="G23" s="6">
        <f t="shared" si="7"/>
        <v>10926.870892837956</v>
      </c>
      <c r="H23" s="7"/>
      <c r="I23" s="6">
        <f t="shared" si="8"/>
        <v>10926.870892837956</v>
      </c>
    </row>
    <row r="24" spans="3:9" x14ac:dyDescent="0.25">
      <c r="C24" s="10">
        <f t="shared" si="3"/>
        <v>14</v>
      </c>
      <c r="D24" s="9">
        <f t="shared" si="4"/>
        <v>1180.9483189793982</v>
      </c>
      <c r="E24" s="6">
        <f t="shared" si="5"/>
        <v>327.8061267851387</v>
      </c>
      <c r="F24" s="8">
        <f t="shared" si="6"/>
        <v>853.14219219425945</v>
      </c>
      <c r="G24" s="6">
        <f t="shared" si="7"/>
        <v>10073.728700643696</v>
      </c>
      <c r="H24" s="7"/>
      <c r="I24" s="6">
        <f t="shared" si="8"/>
        <v>10073.728700643696</v>
      </c>
    </row>
    <row r="25" spans="3:9" x14ac:dyDescent="0.25">
      <c r="C25" s="10">
        <f t="shared" si="3"/>
        <v>15</v>
      </c>
      <c r="D25" s="9">
        <f t="shared" si="4"/>
        <v>1180.9483189793982</v>
      </c>
      <c r="E25" s="6">
        <f t="shared" si="5"/>
        <v>302.2118610193109</v>
      </c>
      <c r="F25" s="8">
        <f t="shared" si="6"/>
        <v>878.73645796008736</v>
      </c>
      <c r="G25" s="6">
        <f t="shared" si="7"/>
        <v>9194.9922426836092</v>
      </c>
      <c r="H25" s="7"/>
      <c r="I25" s="6">
        <f t="shared" si="8"/>
        <v>9194.9922426836092</v>
      </c>
    </row>
    <row r="26" spans="3:9" x14ac:dyDescent="0.25">
      <c r="C26" s="10">
        <f t="shared" si="3"/>
        <v>16</v>
      </c>
      <c r="D26" s="9">
        <f t="shared" si="4"/>
        <v>1180.9483189793982</v>
      </c>
      <c r="E26" s="6">
        <f t="shared" si="5"/>
        <v>275.84976728050827</v>
      </c>
      <c r="F26" s="8">
        <f t="shared" si="6"/>
        <v>905.09855169888988</v>
      </c>
      <c r="G26" s="6">
        <f t="shared" si="7"/>
        <v>8289.8936909847198</v>
      </c>
      <c r="H26" s="7"/>
      <c r="I26" s="6">
        <f t="shared" si="8"/>
        <v>8289.8936909847198</v>
      </c>
    </row>
    <row r="27" spans="3:9" x14ac:dyDescent="0.25">
      <c r="C27" s="10">
        <f t="shared" si="3"/>
        <v>17</v>
      </c>
      <c r="D27" s="9">
        <f t="shared" si="4"/>
        <v>1180.9483189793982</v>
      </c>
      <c r="E27" s="6">
        <f t="shared" si="5"/>
        <v>248.6968107295416</v>
      </c>
      <c r="F27" s="8">
        <f t="shared" si="6"/>
        <v>932.25150824985667</v>
      </c>
      <c r="G27" s="6">
        <f t="shared" si="7"/>
        <v>7357.6421827348631</v>
      </c>
      <c r="H27" s="7"/>
      <c r="I27" s="6">
        <f t="shared" si="8"/>
        <v>7357.6421827348631</v>
      </c>
    </row>
    <row r="28" spans="3:9" x14ac:dyDescent="0.25">
      <c r="C28" s="10">
        <f t="shared" si="3"/>
        <v>18</v>
      </c>
      <c r="D28" s="9">
        <f t="shared" si="4"/>
        <v>1180.9483189793982</v>
      </c>
      <c r="E28" s="6">
        <f t="shared" si="5"/>
        <v>220.72926548204589</v>
      </c>
      <c r="F28" s="8">
        <f t="shared" si="6"/>
        <v>960.21905349735232</v>
      </c>
      <c r="G28" s="6">
        <f t="shared" si="7"/>
        <v>6397.4231292375107</v>
      </c>
      <c r="H28" s="7"/>
      <c r="I28" s="6">
        <f t="shared" si="8"/>
        <v>6397.4231292375107</v>
      </c>
    </row>
    <row r="29" spans="3:9" x14ac:dyDescent="0.25">
      <c r="C29" s="10">
        <f t="shared" si="3"/>
        <v>19</v>
      </c>
      <c r="D29" s="9">
        <f t="shared" si="4"/>
        <v>1180.9483189793982</v>
      </c>
      <c r="E29" s="6">
        <f t="shared" si="5"/>
        <v>191.92269387712531</v>
      </c>
      <c r="F29" s="8">
        <f t="shared" si="6"/>
        <v>989.0256251022729</v>
      </c>
      <c r="G29" s="6">
        <f t="shared" si="7"/>
        <v>5408.3975041352378</v>
      </c>
      <c r="H29" s="7"/>
      <c r="I29" s="6">
        <f t="shared" si="8"/>
        <v>5408.3975041352378</v>
      </c>
    </row>
    <row r="30" spans="3:9" x14ac:dyDescent="0.25">
      <c r="C30" s="10">
        <f t="shared" si="3"/>
        <v>20</v>
      </c>
      <c r="D30" s="9">
        <f t="shared" si="4"/>
        <v>1180.9483189793982</v>
      </c>
      <c r="E30" s="6">
        <f t="shared" si="5"/>
        <v>162.25192512405712</v>
      </c>
      <c r="F30" s="8">
        <f t="shared" si="6"/>
        <v>1018.6963938553411</v>
      </c>
      <c r="G30" s="6">
        <f t="shared" si="7"/>
        <v>4389.701110279897</v>
      </c>
      <c r="H30" s="7"/>
      <c r="I30" s="6">
        <f t="shared" si="8"/>
        <v>4389.701110279897</v>
      </c>
    </row>
    <row r="31" spans="3:9" x14ac:dyDescent="0.25">
      <c r="C31" s="10">
        <f t="shared" si="3"/>
        <v>21</v>
      </c>
      <c r="D31" s="9">
        <f t="shared" si="4"/>
        <v>1180.9483189793982</v>
      </c>
      <c r="E31" s="6">
        <f t="shared" si="5"/>
        <v>131.6910333083969</v>
      </c>
      <c r="F31" s="8">
        <f t="shared" si="6"/>
        <v>1049.2572856710012</v>
      </c>
      <c r="G31" s="6">
        <f t="shared" si="7"/>
        <v>3340.4438246088957</v>
      </c>
      <c r="H31" s="7"/>
      <c r="I31" s="6">
        <f t="shared" si="8"/>
        <v>3340.4438246088957</v>
      </c>
    </row>
    <row r="32" spans="3:9" x14ac:dyDescent="0.25">
      <c r="C32" s="10">
        <f t="shared" si="3"/>
        <v>22</v>
      </c>
      <c r="D32" s="9">
        <f t="shared" si="4"/>
        <v>1180.9483189793982</v>
      </c>
      <c r="E32" s="6">
        <f t="shared" si="5"/>
        <v>100.21331473826687</v>
      </c>
      <c r="F32" s="8">
        <f t="shared" si="6"/>
        <v>1080.7350042411313</v>
      </c>
      <c r="G32" s="6">
        <f t="shared" si="7"/>
        <v>2259.7088203677645</v>
      </c>
      <c r="H32" s="7"/>
      <c r="I32" s="6">
        <f t="shared" si="8"/>
        <v>2259.7088203677645</v>
      </c>
    </row>
    <row r="33" spans="3:9" x14ac:dyDescent="0.25">
      <c r="C33" s="10">
        <f t="shared" si="3"/>
        <v>23</v>
      </c>
      <c r="D33" s="9">
        <f t="shared" si="4"/>
        <v>1180.9483189793982</v>
      </c>
      <c r="E33" s="6">
        <f t="shared" si="5"/>
        <v>67.791264611032929</v>
      </c>
      <c r="F33" s="8">
        <f t="shared" si="6"/>
        <v>1113.1570543683654</v>
      </c>
      <c r="G33" s="6">
        <f t="shared" si="7"/>
        <v>1146.5517659993991</v>
      </c>
      <c r="H33" s="7"/>
      <c r="I33" s="6">
        <f t="shared" si="8"/>
        <v>1146.5517659993991</v>
      </c>
    </row>
    <row r="34" spans="3:9" ht="15.75" thickBot="1" x14ac:dyDescent="0.3">
      <c r="C34" s="5">
        <f t="shared" si="3"/>
        <v>24</v>
      </c>
      <c r="D34" s="4">
        <f t="shared" si="4"/>
        <v>1180.9483189793982</v>
      </c>
      <c r="E34" s="1">
        <f t="shared" si="5"/>
        <v>34.396552979981969</v>
      </c>
      <c r="F34" s="3">
        <f t="shared" si="6"/>
        <v>1146.5517659994161</v>
      </c>
      <c r="G34" s="1">
        <f t="shared" si="7"/>
        <v>-1.7053025658242404E-11</v>
      </c>
      <c r="H34" s="2"/>
      <c r="I34" s="1">
        <f t="shared" si="8"/>
        <v>-1.7053025658242404E-11</v>
      </c>
    </row>
    <row r="35" spans="3:9" ht="15.75" thickBot="1" x14ac:dyDescent="0.3">
      <c r="D35" s="22" t="s">
        <v>7</v>
      </c>
      <c r="E35" s="21">
        <f>SUM(E11:E34)</f>
        <v>8342.7596555055388</v>
      </c>
      <c r="F35" s="21">
        <f>SUM(F11:F34)+SUM(H11:H34)</f>
        <v>20000.000000000015</v>
      </c>
    </row>
  </sheetData>
  <mergeCells count="1">
    <mergeCell ref="Q4:Y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B8C1-AD17-4144-BB1A-937EA3669B10}">
  <dimension ref="C2:AC60"/>
  <sheetViews>
    <sheetView showGridLines="0" tabSelected="1" workbookViewId="0">
      <selection activeCell="Q65" sqref="Q65"/>
    </sheetView>
  </sheetViews>
  <sheetFormatPr baseColWidth="10" defaultRowHeight="16.5" x14ac:dyDescent="0.3"/>
  <cols>
    <col min="1" max="1" width="11.42578125" style="24"/>
    <col min="2" max="2" width="2.42578125" style="24" customWidth="1"/>
    <col min="3" max="3" width="17.5703125" style="24" bestFit="1" customWidth="1"/>
    <col min="4" max="4" width="16" style="24" bestFit="1" customWidth="1"/>
    <col min="5" max="5" width="18.7109375" style="24" bestFit="1" customWidth="1"/>
    <col min="6" max="6" width="18.5703125" style="24" bestFit="1" customWidth="1"/>
    <col min="7" max="7" width="18.7109375" style="24" bestFit="1" customWidth="1"/>
    <col min="8" max="8" width="14" style="24" bestFit="1" customWidth="1"/>
    <col min="9" max="9" width="22.7109375" style="24" bestFit="1" customWidth="1"/>
    <col min="10" max="35" width="2" style="24" customWidth="1"/>
    <col min="36" max="16384" width="11.42578125" style="24"/>
  </cols>
  <sheetData>
    <row r="2" spans="3:29" ht="18.75" thickBot="1" x14ac:dyDescent="0.4">
      <c r="C2" s="55" t="s">
        <v>21</v>
      </c>
    </row>
    <row r="3" spans="3:29" ht="17.25" thickBot="1" x14ac:dyDescent="0.35">
      <c r="L3" s="25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7"/>
    </row>
    <row r="4" spans="3:29" ht="18.75" thickBot="1" x14ac:dyDescent="0.4">
      <c r="C4" s="28" t="s">
        <v>6</v>
      </c>
      <c r="D4" s="37">
        <v>40000</v>
      </c>
      <c r="F4" s="29"/>
      <c r="L4" s="30"/>
      <c r="M4" s="31" t="s">
        <v>10</v>
      </c>
      <c r="N4" s="31"/>
      <c r="O4" s="31"/>
      <c r="P4" s="31"/>
      <c r="Q4" s="64" t="s">
        <v>11</v>
      </c>
      <c r="R4" s="64"/>
      <c r="S4" s="64"/>
      <c r="T4" s="64"/>
      <c r="U4" s="64"/>
      <c r="V4" s="64"/>
      <c r="W4" s="64"/>
      <c r="X4" s="64"/>
      <c r="Y4" s="64"/>
      <c r="Z4" s="31"/>
      <c r="AA4" s="41"/>
      <c r="AB4" s="41"/>
      <c r="AC4" s="42"/>
    </row>
    <row r="5" spans="3:29" ht="19.5" thickBot="1" x14ac:dyDescent="0.4">
      <c r="C5" s="28" t="s">
        <v>5</v>
      </c>
      <c r="D5" s="35">
        <v>0.08</v>
      </c>
      <c r="L5" s="30"/>
      <c r="M5" s="31"/>
      <c r="N5" s="31"/>
      <c r="O5" s="31"/>
      <c r="P5" s="31"/>
      <c r="Q5" s="31" t="s">
        <v>19</v>
      </c>
      <c r="R5" s="31"/>
      <c r="S5" s="31"/>
      <c r="T5" s="31"/>
      <c r="U5" s="31"/>
      <c r="V5" s="31"/>
      <c r="W5" s="31"/>
      <c r="X5" s="31"/>
      <c r="Y5" s="31"/>
      <c r="Z5" s="31"/>
      <c r="AA5" s="41"/>
      <c r="AB5" s="41"/>
      <c r="AC5" s="42"/>
    </row>
    <row r="6" spans="3:29" ht="18.75" thickBot="1" x14ac:dyDescent="0.4">
      <c r="C6" s="28" t="s">
        <v>4</v>
      </c>
      <c r="D6" s="36">
        <v>24</v>
      </c>
      <c r="L6" s="32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4"/>
    </row>
    <row r="9" spans="3:29" ht="17.25" thickBot="1" x14ac:dyDescent="0.35"/>
    <row r="10" spans="3:29" ht="81" customHeight="1" thickBot="1" x14ac:dyDescent="0.35">
      <c r="C10" s="62" t="s">
        <v>13</v>
      </c>
      <c r="D10" s="60" t="s">
        <v>14</v>
      </c>
      <c r="E10" s="60" t="s">
        <v>15</v>
      </c>
      <c r="F10" s="60" t="s">
        <v>16</v>
      </c>
      <c r="G10" s="66" t="s">
        <v>22</v>
      </c>
      <c r="H10" s="60" t="s">
        <v>17</v>
      </c>
      <c r="I10" s="38" t="s">
        <v>18</v>
      </c>
    </row>
    <row r="11" spans="3:29" ht="48.75" customHeight="1" thickBot="1" x14ac:dyDescent="0.35">
      <c r="C11" s="63"/>
      <c r="D11" s="61"/>
      <c r="E11" s="65"/>
      <c r="F11" s="65"/>
      <c r="G11" s="67"/>
      <c r="H11" s="65"/>
      <c r="I11" s="43">
        <f>D4</f>
        <v>40000</v>
      </c>
    </row>
    <row r="12" spans="3:29" ht="17.25" x14ac:dyDescent="0.35">
      <c r="C12" s="44">
        <v>1</v>
      </c>
      <c r="D12" s="45">
        <f t="shared" ref="D12:D35" si="0">IF(I11&lt;=D11,I11+I11*$D$5,($I$11*$D$5)/(1-($D$5+1)^-$D$6))</f>
        <v>3799.118464141975</v>
      </c>
      <c r="E12" s="45">
        <f t="shared" ref="E12:E35" si="1">IF(I11*$D$5&lt;0.001,0,I11*$D$5)</f>
        <v>3200</v>
      </c>
      <c r="F12" s="46">
        <f t="shared" ref="F12:F35" si="2">IF(E12&lt;=0.01,0,D12-E12)</f>
        <v>599.11846414197498</v>
      </c>
      <c r="G12" s="45">
        <f t="shared" ref="G12:G34" si="3">IF(I11-F12&lt;0.01,0,I11-F12)</f>
        <v>39400.881535858025</v>
      </c>
      <c r="H12" s="52"/>
      <c r="I12" s="45">
        <f t="shared" ref="I12:I17" si="4">G12-H12</f>
        <v>39400.881535858025</v>
      </c>
    </row>
    <row r="13" spans="3:29" ht="17.25" x14ac:dyDescent="0.35">
      <c r="C13" s="47">
        <f>IF(D13&lt;=0,"",C12+1)</f>
        <v>2</v>
      </c>
      <c r="D13" s="48">
        <f t="shared" si="0"/>
        <v>3799.118464141975</v>
      </c>
      <c r="E13" s="48">
        <f t="shared" si="1"/>
        <v>3152.070522868642</v>
      </c>
      <c r="F13" s="49">
        <f t="shared" si="2"/>
        <v>647.04794127333298</v>
      </c>
      <c r="G13" s="48">
        <f t="shared" si="3"/>
        <v>38753.833594584692</v>
      </c>
      <c r="H13" s="53"/>
      <c r="I13" s="48">
        <f t="shared" si="4"/>
        <v>38753.833594584692</v>
      </c>
    </row>
    <row r="14" spans="3:29" ht="17.25" x14ac:dyDescent="0.35">
      <c r="C14" s="47">
        <f t="shared" ref="C14:C59" si="5">IF(D14&lt;=0,"",C13+1)</f>
        <v>3</v>
      </c>
      <c r="D14" s="48">
        <f t="shared" si="0"/>
        <v>3799.118464141975</v>
      </c>
      <c r="E14" s="48">
        <f t="shared" si="1"/>
        <v>3100.3066875667755</v>
      </c>
      <c r="F14" s="49">
        <f t="shared" si="2"/>
        <v>698.81177657519947</v>
      </c>
      <c r="G14" s="48">
        <f t="shared" si="3"/>
        <v>38055.021818009496</v>
      </c>
      <c r="H14" s="53">
        <v>10000</v>
      </c>
      <c r="I14" s="48">
        <f t="shared" si="4"/>
        <v>28055.021818009496</v>
      </c>
    </row>
    <row r="15" spans="3:29" ht="17.25" x14ac:dyDescent="0.35">
      <c r="C15" s="47">
        <f t="shared" si="5"/>
        <v>4</v>
      </c>
      <c r="D15" s="48">
        <f t="shared" si="0"/>
        <v>3799.118464141975</v>
      </c>
      <c r="E15" s="48">
        <f t="shared" si="1"/>
        <v>2244.4017454407599</v>
      </c>
      <c r="F15" s="49">
        <f t="shared" si="2"/>
        <v>1554.7167187012151</v>
      </c>
      <c r="G15" s="48">
        <f t="shared" si="3"/>
        <v>26500.30509930828</v>
      </c>
      <c r="H15" s="53"/>
      <c r="I15" s="48">
        <f t="shared" si="4"/>
        <v>26500.30509930828</v>
      </c>
    </row>
    <row r="16" spans="3:29" ht="17.25" x14ac:dyDescent="0.35">
      <c r="C16" s="47">
        <f t="shared" si="5"/>
        <v>5</v>
      </c>
      <c r="D16" s="48">
        <f t="shared" si="0"/>
        <v>3799.118464141975</v>
      </c>
      <c r="E16" s="48">
        <f t="shared" si="1"/>
        <v>2120.0244079446625</v>
      </c>
      <c r="F16" s="49">
        <f t="shared" si="2"/>
        <v>1679.0940561973125</v>
      </c>
      <c r="G16" s="48">
        <f t="shared" si="3"/>
        <v>24821.211043110969</v>
      </c>
      <c r="H16" s="53"/>
      <c r="I16" s="48">
        <f t="shared" si="4"/>
        <v>24821.211043110969</v>
      </c>
    </row>
    <row r="17" spans="3:9" ht="17.25" x14ac:dyDescent="0.35">
      <c r="C17" s="47">
        <f t="shared" si="5"/>
        <v>6</v>
      </c>
      <c r="D17" s="48">
        <f t="shared" si="0"/>
        <v>3799.118464141975</v>
      </c>
      <c r="E17" s="48">
        <f t="shared" si="1"/>
        <v>1985.6968834488775</v>
      </c>
      <c r="F17" s="49">
        <f t="shared" si="2"/>
        <v>1813.4215806930974</v>
      </c>
      <c r="G17" s="48">
        <f t="shared" si="3"/>
        <v>23007.78946241787</v>
      </c>
      <c r="H17" s="53"/>
      <c r="I17" s="48">
        <f t="shared" si="4"/>
        <v>23007.78946241787</v>
      </c>
    </row>
    <row r="18" spans="3:9" ht="17.25" x14ac:dyDescent="0.35">
      <c r="C18" s="47">
        <f t="shared" si="5"/>
        <v>7</v>
      </c>
      <c r="D18" s="48">
        <f t="shared" si="0"/>
        <v>3799.118464141975</v>
      </c>
      <c r="E18" s="48">
        <f t="shared" si="1"/>
        <v>1840.6231569934296</v>
      </c>
      <c r="F18" s="49">
        <f t="shared" si="2"/>
        <v>1958.4953071485454</v>
      </c>
      <c r="G18" s="48">
        <f t="shared" si="3"/>
        <v>21049.294155269323</v>
      </c>
      <c r="H18" s="53"/>
      <c r="I18" s="48">
        <f t="shared" ref="I18:I26" si="6">G18-H18</f>
        <v>21049.294155269323</v>
      </c>
    </row>
    <row r="19" spans="3:9" ht="17.25" x14ac:dyDescent="0.35">
      <c r="C19" s="47">
        <f t="shared" si="5"/>
        <v>8</v>
      </c>
      <c r="D19" s="48">
        <f t="shared" si="0"/>
        <v>3799.118464141975</v>
      </c>
      <c r="E19" s="48">
        <f t="shared" si="1"/>
        <v>1683.9435324215458</v>
      </c>
      <c r="F19" s="49">
        <f t="shared" si="2"/>
        <v>2115.1749317204294</v>
      </c>
      <c r="G19" s="48">
        <f t="shared" si="3"/>
        <v>18934.119223548892</v>
      </c>
      <c r="H19" s="53"/>
      <c r="I19" s="48">
        <f t="shared" si="6"/>
        <v>18934.119223548892</v>
      </c>
    </row>
    <row r="20" spans="3:9" ht="17.25" x14ac:dyDescent="0.35">
      <c r="C20" s="47">
        <f t="shared" si="5"/>
        <v>9</v>
      </c>
      <c r="D20" s="48">
        <f t="shared" si="0"/>
        <v>3799.118464141975</v>
      </c>
      <c r="E20" s="48">
        <f t="shared" si="1"/>
        <v>1514.7295378839115</v>
      </c>
      <c r="F20" s="49">
        <f t="shared" si="2"/>
        <v>2284.3889262580633</v>
      </c>
      <c r="G20" s="48">
        <f t="shared" si="3"/>
        <v>16649.730297290829</v>
      </c>
      <c r="H20" s="53"/>
      <c r="I20" s="48">
        <f t="shared" si="6"/>
        <v>16649.730297290829</v>
      </c>
    </row>
    <row r="21" spans="3:9" ht="17.25" x14ac:dyDescent="0.35">
      <c r="C21" s="47">
        <f t="shared" si="5"/>
        <v>10</v>
      </c>
      <c r="D21" s="48">
        <f t="shared" si="0"/>
        <v>3799.118464141975</v>
      </c>
      <c r="E21" s="48">
        <f t="shared" si="1"/>
        <v>1331.9784237832664</v>
      </c>
      <c r="F21" s="49">
        <f t="shared" si="2"/>
        <v>2467.1400403587086</v>
      </c>
      <c r="G21" s="48">
        <f t="shared" si="3"/>
        <v>14182.590256932121</v>
      </c>
      <c r="H21" s="53"/>
      <c r="I21" s="48">
        <f t="shared" si="6"/>
        <v>14182.590256932121</v>
      </c>
    </row>
    <row r="22" spans="3:9" ht="17.25" x14ac:dyDescent="0.35">
      <c r="C22" s="47">
        <f t="shared" si="5"/>
        <v>11</v>
      </c>
      <c r="D22" s="48">
        <f t="shared" si="0"/>
        <v>3799.118464141975</v>
      </c>
      <c r="E22" s="48">
        <f t="shared" si="1"/>
        <v>1134.6072205545697</v>
      </c>
      <c r="F22" s="49">
        <f t="shared" si="2"/>
        <v>2664.5112435874053</v>
      </c>
      <c r="G22" s="48">
        <f t="shared" si="3"/>
        <v>11518.079013344715</v>
      </c>
      <c r="H22" s="53"/>
      <c r="I22" s="48">
        <f t="shared" si="6"/>
        <v>11518.079013344715</v>
      </c>
    </row>
    <row r="23" spans="3:9" ht="17.25" x14ac:dyDescent="0.35">
      <c r="C23" s="47">
        <f t="shared" si="5"/>
        <v>12</v>
      </c>
      <c r="D23" s="48">
        <f t="shared" si="0"/>
        <v>3799.118464141975</v>
      </c>
      <c r="E23" s="48">
        <f t="shared" si="1"/>
        <v>921.44632106757729</v>
      </c>
      <c r="F23" s="49">
        <f t="shared" si="2"/>
        <v>2877.6721430743978</v>
      </c>
      <c r="G23" s="48">
        <f t="shared" si="3"/>
        <v>8640.4068702703171</v>
      </c>
      <c r="H23" s="53"/>
      <c r="I23" s="48">
        <f t="shared" si="6"/>
        <v>8640.4068702703171</v>
      </c>
    </row>
    <row r="24" spans="3:9" ht="17.25" x14ac:dyDescent="0.35">
      <c r="C24" s="47">
        <f t="shared" si="5"/>
        <v>13</v>
      </c>
      <c r="D24" s="48">
        <f t="shared" si="0"/>
        <v>3799.118464141975</v>
      </c>
      <c r="E24" s="48">
        <f t="shared" si="1"/>
        <v>691.23254962162537</v>
      </c>
      <c r="F24" s="49">
        <f t="shared" si="2"/>
        <v>3107.8859145203496</v>
      </c>
      <c r="G24" s="48">
        <f t="shared" si="3"/>
        <v>5532.5209557499675</v>
      </c>
      <c r="H24" s="53"/>
      <c r="I24" s="48">
        <f t="shared" si="6"/>
        <v>5532.5209557499675</v>
      </c>
    </row>
    <row r="25" spans="3:9" ht="17.25" x14ac:dyDescent="0.35">
      <c r="C25" s="47">
        <f t="shared" si="5"/>
        <v>14</v>
      </c>
      <c r="D25" s="48">
        <f t="shared" si="0"/>
        <v>3799.118464141975</v>
      </c>
      <c r="E25" s="48">
        <f t="shared" si="1"/>
        <v>442.60167645999741</v>
      </c>
      <c r="F25" s="49">
        <f t="shared" si="2"/>
        <v>3356.5167876819778</v>
      </c>
      <c r="G25" s="48">
        <f t="shared" si="3"/>
        <v>2176.0041680679897</v>
      </c>
      <c r="H25" s="53"/>
      <c r="I25" s="48">
        <f t="shared" si="6"/>
        <v>2176.0041680679897</v>
      </c>
    </row>
    <row r="26" spans="3:9" ht="17.25" x14ac:dyDescent="0.35">
      <c r="C26" s="47">
        <f t="shared" si="5"/>
        <v>15</v>
      </c>
      <c r="D26" s="48">
        <f t="shared" si="0"/>
        <v>2350.0845015134287</v>
      </c>
      <c r="E26" s="48">
        <f t="shared" si="1"/>
        <v>174.08033344543918</v>
      </c>
      <c r="F26" s="49">
        <f t="shared" si="2"/>
        <v>2176.0041680679897</v>
      </c>
      <c r="G26" s="48">
        <f t="shared" si="3"/>
        <v>0</v>
      </c>
      <c r="H26" s="53"/>
      <c r="I26" s="48">
        <f t="shared" si="6"/>
        <v>0</v>
      </c>
    </row>
    <row r="27" spans="3:9" ht="17.25" x14ac:dyDescent="0.35">
      <c r="C27" s="47" t="str">
        <f t="shared" si="5"/>
        <v/>
      </c>
      <c r="D27" s="48">
        <f t="shared" si="0"/>
        <v>0</v>
      </c>
      <c r="E27" s="48">
        <f t="shared" si="1"/>
        <v>0</v>
      </c>
      <c r="F27" s="49">
        <f>IF(E27&lt;=0.01,0,D27-E27)</f>
        <v>0</v>
      </c>
      <c r="G27" s="48">
        <f>IF(I26-F27&lt;0.01,0,I26-F27)</f>
        <v>0</v>
      </c>
      <c r="H27" s="53"/>
      <c r="I27" s="48">
        <f>G27-H27</f>
        <v>0</v>
      </c>
    </row>
    <row r="28" spans="3:9" ht="17.25" x14ac:dyDescent="0.35">
      <c r="C28" s="47" t="str">
        <f t="shared" si="5"/>
        <v/>
      </c>
      <c r="D28" s="48">
        <f t="shared" si="0"/>
        <v>0</v>
      </c>
      <c r="E28" s="48">
        <f t="shared" si="1"/>
        <v>0</v>
      </c>
      <c r="F28" s="49">
        <f t="shared" si="2"/>
        <v>0</v>
      </c>
      <c r="G28" s="48">
        <f t="shared" si="3"/>
        <v>0</v>
      </c>
      <c r="H28" s="53"/>
      <c r="I28" s="48">
        <f t="shared" ref="I28:I31" si="7">G28-H28</f>
        <v>0</v>
      </c>
    </row>
    <row r="29" spans="3:9" ht="17.25" x14ac:dyDescent="0.35">
      <c r="C29" s="47" t="str">
        <f t="shared" si="5"/>
        <v/>
      </c>
      <c r="D29" s="48">
        <f t="shared" si="0"/>
        <v>0</v>
      </c>
      <c r="E29" s="48">
        <f t="shared" si="1"/>
        <v>0</v>
      </c>
      <c r="F29" s="49">
        <f t="shared" si="2"/>
        <v>0</v>
      </c>
      <c r="G29" s="48">
        <f t="shared" si="3"/>
        <v>0</v>
      </c>
      <c r="H29" s="53"/>
      <c r="I29" s="48">
        <f t="shared" si="7"/>
        <v>0</v>
      </c>
    </row>
    <row r="30" spans="3:9" ht="17.25" x14ac:dyDescent="0.35">
      <c r="C30" s="47" t="str">
        <f t="shared" si="5"/>
        <v/>
      </c>
      <c r="D30" s="48">
        <f t="shared" si="0"/>
        <v>0</v>
      </c>
      <c r="E30" s="48">
        <f t="shared" si="1"/>
        <v>0</v>
      </c>
      <c r="F30" s="49">
        <f t="shared" si="2"/>
        <v>0</v>
      </c>
      <c r="G30" s="48">
        <f t="shared" si="3"/>
        <v>0</v>
      </c>
      <c r="H30" s="53"/>
      <c r="I30" s="48">
        <f t="shared" si="7"/>
        <v>0</v>
      </c>
    </row>
    <row r="31" spans="3:9" ht="17.25" x14ac:dyDescent="0.35">
      <c r="C31" s="47" t="str">
        <f t="shared" si="5"/>
        <v/>
      </c>
      <c r="D31" s="48">
        <f t="shared" si="0"/>
        <v>0</v>
      </c>
      <c r="E31" s="48">
        <f t="shared" si="1"/>
        <v>0</v>
      </c>
      <c r="F31" s="49">
        <f t="shared" si="2"/>
        <v>0</v>
      </c>
      <c r="G31" s="48">
        <f t="shared" si="3"/>
        <v>0</v>
      </c>
      <c r="H31" s="53"/>
      <c r="I31" s="48">
        <f t="shared" si="7"/>
        <v>0</v>
      </c>
    </row>
    <row r="32" spans="3:9" ht="17.25" x14ac:dyDescent="0.35">
      <c r="C32" s="47" t="str">
        <f t="shared" si="5"/>
        <v/>
      </c>
      <c r="D32" s="48">
        <f t="shared" si="0"/>
        <v>0</v>
      </c>
      <c r="E32" s="48">
        <f t="shared" si="1"/>
        <v>0</v>
      </c>
      <c r="F32" s="49">
        <f t="shared" si="2"/>
        <v>0</v>
      </c>
      <c r="G32" s="48">
        <f t="shared" si="3"/>
        <v>0</v>
      </c>
      <c r="H32" s="53"/>
      <c r="I32" s="48">
        <f t="shared" ref="I32:I34" si="8">G32-H32</f>
        <v>0</v>
      </c>
    </row>
    <row r="33" spans="3:9" ht="17.25" x14ac:dyDescent="0.35">
      <c r="C33" s="47" t="str">
        <f t="shared" si="5"/>
        <v/>
      </c>
      <c r="D33" s="48">
        <f t="shared" si="0"/>
        <v>0</v>
      </c>
      <c r="E33" s="48">
        <f t="shared" si="1"/>
        <v>0</v>
      </c>
      <c r="F33" s="49">
        <f t="shared" si="2"/>
        <v>0</v>
      </c>
      <c r="G33" s="48">
        <f t="shared" si="3"/>
        <v>0</v>
      </c>
      <c r="H33" s="53"/>
      <c r="I33" s="48">
        <f t="shared" si="8"/>
        <v>0</v>
      </c>
    </row>
    <row r="34" spans="3:9" ht="17.25" x14ac:dyDescent="0.35">
      <c r="C34" s="47" t="str">
        <f t="shared" si="5"/>
        <v/>
      </c>
      <c r="D34" s="48">
        <f t="shared" si="0"/>
        <v>0</v>
      </c>
      <c r="E34" s="48">
        <f t="shared" si="1"/>
        <v>0</v>
      </c>
      <c r="F34" s="49">
        <f t="shared" si="2"/>
        <v>0</v>
      </c>
      <c r="G34" s="48">
        <f t="shared" si="3"/>
        <v>0</v>
      </c>
      <c r="H34" s="53"/>
      <c r="I34" s="48">
        <f t="shared" si="8"/>
        <v>0</v>
      </c>
    </row>
    <row r="35" spans="3:9" ht="17.25" x14ac:dyDescent="0.35">
      <c r="C35" s="47" t="str">
        <f t="shared" si="5"/>
        <v/>
      </c>
      <c r="D35" s="48">
        <f t="shared" si="0"/>
        <v>0</v>
      </c>
      <c r="E35" s="48">
        <f t="shared" si="1"/>
        <v>0</v>
      </c>
      <c r="F35" s="49">
        <f t="shared" si="2"/>
        <v>0</v>
      </c>
      <c r="G35" s="48">
        <f>IF(I34-F35&lt;0.01,0,I34-F35)</f>
        <v>0</v>
      </c>
      <c r="H35" s="53"/>
      <c r="I35" s="48">
        <f>G35-H35</f>
        <v>0</v>
      </c>
    </row>
    <row r="36" spans="3:9" ht="17.25" x14ac:dyDescent="0.35">
      <c r="C36" s="47" t="str">
        <f t="shared" si="5"/>
        <v/>
      </c>
      <c r="D36" s="48">
        <f>IF(I35&lt;=D35,I35+I35*$D$5,($I$11*$D$5)/(1-($D$5+1)^-$D$6))</f>
        <v>0</v>
      </c>
      <c r="E36" s="48">
        <f>IF(I35*$D$5&lt;0.001,0,I35*$D$5)</f>
        <v>0</v>
      </c>
      <c r="F36" s="49">
        <f>IF(E36&lt;=0.001,0,D36-E36)</f>
        <v>0</v>
      </c>
      <c r="G36" s="48">
        <f t="shared" ref="G36:G59" si="9">IF(I35-F36&lt;0.01,0,I35-F36)</f>
        <v>0</v>
      </c>
      <c r="H36" s="53"/>
      <c r="I36" s="48">
        <f t="shared" ref="I36:I47" si="10">G36-H36</f>
        <v>0</v>
      </c>
    </row>
    <row r="37" spans="3:9" ht="17.25" x14ac:dyDescent="0.35">
      <c r="C37" s="47" t="str">
        <f t="shared" si="5"/>
        <v/>
      </c>
      <c r="D37" s="48">
        <f>IF(I36&lt;=D36,I36+I36*$D$5,($I$11*$D$5)/(1-($D$5+1)^-$D$6))</f>
        <v>0</v>
      </c>
      <c r="E37" s="48">
        <f t="shared" ref="E37:E59" si="11">IF(I36*$D$5&lt;0.001,0,I36*$D$5)</f>
        <v>0</v>
      </c>
      <c r="F37" s="49">
        <f t="shared" ref="F37:F59" si="12">IF(E37&lt;=0.01,0,D37-E37)</f>
        <v>0</v>
      </c>
      <c r="G37" s="48">
        <f t="shared" si="9"/>
        <v>0</v>
      </c>
      <c r="H37" s="53"/>
      <c r="I37" s="48">
        <f t="shared" si="10"/>
        <v>0</v>
      </c>
    </row>
    <row r="38" spans="3:9" ht="17.25" x14ac:dyDescent="0.35">
      <c r="C38" s="47" t="str">
        <f t="shared" si="5"/>
        <v/>
      </c>
      <c r="D38" s="48">
        <f t="shared" ref="D38:D59" si="13">IF(I37&lt;=D37,I37+I37*$D$5,($I$11*$D$5)/(1-($D$5+1)^-$D$6))</f>
        <v>0</v>
      </c>
      <c r="E38" s="48">
        <f t="shared" si="11"/>
        <v>0</v>
      </c>
      <c r="F38" s="49">
        <f t="shared" si="12"/>
        <v>0</v>
      </c>
      <c r="G38" s="48">
        <f t="shared" si="9"/>
        <v>0</v>
      </c>
      <c r="H38" s="53"/>
      <c r="I38" s="48">
        <f t="shared" si="10"/>
        <v>0</v>
      </c>
    </row>
    <row r="39" spans="3:9" ht="17.25" x14ac:dyDescent="0.35">
      <c r="C39" s="47" t="str">
        <f t="shared" si="5"/>
        <v/>
      </c>
      <c r="D39" s="48">
        <f t="shared" si="13"/>
        <v>0</v>
      </c>
      <c r="E39" s="48">
        <f t="shared" si="11"/>
        <v>0</v>
      </c>
      <c r="F39" s="49">
        <f t="shared" si="12"/>
        <v>0</v>
      </c>
      <c r="G39" s="48">
        <f t="shared" si="9"/>
        <v>0</v>
      </c>
      <c r="H39" s="53"/>
      <c r="I39" s="48">
        <f t="shared" si="10"/>
        <v>0</v>
      </c>
    </row>
    <row r="40" spans="3:9" ht="17.25" x14ac:dyDescent="0.35">
      <c r="C40" s="47" t="str">
        <f t="shared" si="5"/>
        <v/>
      </c>
      <c r="D40" s="48">
        <f t="shared" si="13"/>
        <v>0</v>
      </c>
      <c r="E40" s="48">
        <f t="shared" si="11"/>
        <v>0</v>
      </c>
      <c r="F40" s="49">
        <f t="shared" si="12"/>
        <v>0</v>
      </c>
      <c r="G40" s="48">
        <f t="shared" si="9"/>
        <v>0</v>
      </c>
      <c r="H40" s="53"/>
      <c r="I40" s="48">
        <f t="shared" si="10"/>
        <v>0</v>
      </c>
    </row>
    <row r="41" spans="3:9" ht="17.25" x14ac:dyDescent="0.35">
      <c r="C41" s="47" t="str">
        <f t="shared" si="5"/>
        <v/>
      </c>
      <c r="D41" s="48">
        <f t="shared" si="13"/>
        <v>0</v>
      </c>
      <c r="E41" s="48">
        <f t="shared" si="11"/>
        <v>0</v>
      </c>
      <c r="F41" s="49">
        <f t="shared" si="12"/>
        <v>0</v>
      </c>
      <c r="G41" s="48">
        <f t="shared" si="9"/>
        <v>0</v>
      </c>
      <c r="H41" s="53"/>
      <c r="I41" s="48">
        <f t="shared" si="10"/>
        <v>0</v>
      </c>
    </row>
    <row r="42" spans="3:9" ht="17.25" x14ac:dyDescent="0.35">
      <c r="C42" s="47" t="str">
        <f t="shared" si="5"/>
        <v/>
      </c>
      <c r="D42" s="48">
        <f t="shared" si="13"/>
        <v>0</v>
      </c>
      <c r="E42" s="48">
        <f t="shared" si="11"/>
        <v>0</v>
      </c>
      <c r="F42" s="49">
        <f t="shared" si="12"/>
        <v>0</v>
      </c>
      <c r="G42" s="48">
        <f t="shared" si="9"/>
        <v>0</v>
      </c>
      <c r="H42" s="53"/>
      <c r="I42" s="48">
        <f t="shared" si="10"/>
        <v>0</v>
      </c>
    </row>
    <row r="43" spans="3:9" ht="17.25" x14ac:dyDescent="0.35">
      <c r="C43" s="47" t="str">
        <f t="shared" si="5"/>
        <v/>
      </c>
      <c r="D43" s="48">
        <f t="shared" si="13"/>
        <v>0</v>
      </c>
      <c r="E43" s="48">
        <f t="shared" si="11"/>
        <v>0</v>
      </c>
      <c r="F43" s="49">
        <f t="shared" si="12"/>
        <v>0</v>
      </c>
      <c r="G43" s="48">
        <f t="shared" si="9"/>
        <v>0</v>
      </c>
      <c r="H43" s="53"/>
      <c r="I43" s="48">
        <f t="shared" si="10"/>
        <v>0</v>
      </c>
    </row>
    <row r="44" spans="3:9" ht="17.25" x14ac:dyDescent="0.35">
      <c r="C44" s="47" t="str">
        <f t="shared" si="5"/>
        <v/>
      </c>
      <c r="D44" s="48">
        <f t="shared" si="13"/>
        <v>0</v>
      </c>
      <c r="E44" s="48">
        <f t="shared" si="11"/>
        <v>0</v>
      </c>
      <c r="F44" s="49">
        <f t="shared" si="12"/>
        <v>0</v>
      </c>
      <c r="G44" s="48">
        <f t="shared" si="9"/>
        <v>0</v>
      </c>
      <c r="H44" s="53"/>
      <c r="I44" s="48">
        <f t="shared" si="10"/>
        <v>0</v>
      </c>
    </row>
    <row r="45" spans="3:9" ht="17.25" x14ac:dyDescent="0.35">
      <c r="C45" s="47" t="str">
        <f t="shared" si="5"/>
        <v/>
      </c>
      <c r="D45" s="48">
        <f t="shared" si="13"/>
        <v>0</v>
      </c>
      <c r="E45" s="48">
        <f t="shared" si="11"/>
        <v>0</v>
      </c>
      <c r="F45" s="49">
        <f t="shared" si="12"/>
        <v>0</v>
      </c>
      <c r="G45" s="48">
        <f t="shared" si="9"/>
        <v>0</v>
      </c>
      <c r="H45" s="53"/>
      <c r="I45" s="48">
        <f t="shared" si="10"/>
        <v>0</v>
      </c>
    </row>
    <row r="46" spans="3:9" ht="17.25" x14ac:dyDescent="0.35">
      <c r="C46" s="47" t="str">
        <f t="shared" si="5"/>
        <v/>
      </c>
      <c r="D46" s="48">
        <f t="shared" si="13"/>
        <v>0</v>
      </c>
      <c r="E46" s="48">
        <f t="shared" si="11"/>
        <v>0</v>
      </c>
      <c r="F46" s="49">
        <f t="shared" si="12"/>
        <v>0</v>
      </c>
      <c r="G46" s="48">
        <f t="shared" si="9"/>
        <v>0</v>
      </c>
      <c r="H46" s="53"/>
      <c r="I46" s="48">
        <f t="shared" si="10"/>
        <v>0</v>
      </c>
    </row>
    <row r="47" spans="3:9" ht="17.25" x14ac:dyDescent="0.35">
      <c r="C47" s="47" t="str">
        <f t="shared" si="5"/>
        <v/>
      </c>
      <c r="D47" s="48">
        <f t="shared" si="13"/>
        <v>0</v>
      </c>
      <c r="E47" s="48">
        <f t="shared" si="11"/>
        <v>0</v>
      </c>
      <c r="F47" s="49">
        <f t="shared" si="12"/>
        <v>0</v>
      </c>
      <c r="G47" s="48">
        <f t="shared" si="9"/>
        <v>0</v>
      </c>
      <c r="H47" s="53"/>
      <c r="I47" s="48">
        <f t="shared" si="10"/>
        <v>0</v>
      </c>
    </row>
    <row r="48" spans="3:9" ht="17.25" x14ac:dyDescent="0.35">
      <c r="C48" s="47" t="str">
        <f t="shared" si="5"/>
        <v/>
      </c>
      <c r="D48" s="48">
        <f t="shared" si="13"/>
        <v>0</v>
      </c>
      <c r="E48" s="48">
        <f t="shared" si="11"/>
        <v>0</v>
      </c>
      <c r="F48" s="49">
        <f t="shared" si="12"/>
        <v>0</v>
      </c>
      <c r="G48" s="48">
        <f t="shared" si="9"/>
        <v>0</v>
      </c>
      <c r="H48" s="53"/>
      <c r="I48" s="48">
        <f t="shared" ref="I48:I52" si="14">G48-H48</f>
        <v>0</v>
      </c>
    </row>
    <row r="49" spans="3:9" ht="17.25" x14ac:dyDescent="0.35">
      <c r="C49" s="47" t="str">
        <f t="shared" si="5"/>
        <v/>
      </c>
      <c r="D49" s="48">
        <f t="shared" si="13"/>
        <v>0</v>
      </c>
      <c r="E49" s="48">
        <f t="shared" si="11"/>
        <v>0</v>
      </c>
      <c r="F49" s="49">
        <f t="shared" si="12"/>
        <v>0</v>
      </c>
      <c r="G49" s="48">
        <f t="shared" si="9"/>
        <v>0</v>
      </c>
      <c r="H49" s="53"/>
      <c r="I49" s="48">
        <f t="shared" si="14"/>
        <v>0</v>
      </c>
    </row>
    <row r="50" spans="3:9" ht="17.25" x14ac:dyDescent="0.35">
      <c r="C50" s="47" t="str">
        <f t="shared" si="5"/>
        <v/>
      </c>
      <c r="D50" s="48">
        <f t="shared" si="13"/>
        <v>0</v>
      </c>
      <c r="E50" s="48">
        <f t="shared" si="11"/>
        <v>0</v>
      </c>
      <c r="F50" s="49">
        <f t="shared" si="12"/>
        <v>0</v>
      </c>
      <c r="G50" s="48">
        <f t="shared" si="9"/>
        <v>0</v>
      </c>
      <c r="H50" s="53"/>
      <c r="I50" s="48">
        <f t="shared" si="14"/>
        <v>0</v>
      </c>
    </row>
    <row r="51" spans="3:9" ht="17.25" x14ac:dyDescent="0.35">
      <c r="C51" s="47" t="str">
        <f t="shared" si="5"/>
        <v/>
      </c>
      <c r="D51" s="48">
        <f t="shared" si="13"/>
        <v>0</v>
      </c>
      <c r="E51" s="48">
        <f t="shared" si="11"/>
        <v>0</v>
      </c>
      <c r="F51" s="49">
        <f t="shared" si="12"/>
        <v>0</v>
      </c>
      <c r="G51" s="48">
        <f t="shared" si="9"/>
        <v>0</v>
      </c>
      <c r="H51" s="53"/>
      <c r="I51" s="48">
        <f t="shared" si="14"/>
        <v>0</v>
      </c>
    </row>
    <row r="52" spans="3:9" ht="17.25" x14ac:dyDescent="0.35">
      <c r="C52" s="47" t="str">
        <f t="shared" si="5"/>
        <v/>
      </c>
      <c r="D52" s="48">
        <f t="shared" si="13"/>
        <v>0</v>
      </c>
      <c r="E52" s="48">
        <f t="shared" si="11"/>
        <v>0</v>
      </c>
      <c r="F52" s="49">
        <f t="shared" si="12"/>
        <v>0</v>
      </c>
      <c r="G52" s="48">
        <f t="shared" si="9"/>
        <v>0</v>
      </c>
      <c r="H52" s="53"/>
      <c r="I52" s="48">
        <f t="shared" si="14"/>
        <v>0</v>
      </c>
    </row>
    <row r="53" spans="3:9" ht="17.25" x14ac:dyDescent="0.35">
      <c r="C53" s="47" t="str">
        <f t="shared" si="5"/>
        <v/>
      </c>
      <c r="D53" s="48">
        <f t="shared" si="13"/>
        <v>0</v>
      </c>
      <c r="E53" s="48">
        <f t="shared" si="11"/>
        <v>0</v>
      </c>
      <c r="F53" s="49">
        <f t="shared" si="12"/>
        <v>0</v>
      </c>
      <c r="G53" s="48">
        <f t="shared" si="9"/>
        <v>0</v>
      </c>
      <c r="H53" s="53"/>
      <c r="I53" s="48">
        <f t="shared" ref="I53:I56" si="15">G53-H53</f>
        <v>0</v>
      </c>
    </row>
    <row r="54" spans="3:9" ht="17.25" x14ac:dyDescent="0.35">
      <c r="C54" s="47" t="str">
        <f t="shared" si="5"/>
        <v/>
      </c>
      <c r="D54" s="48">
        <f t="shared" si="13"/>
        <v>0</v>
      </c>
      <c r="E54" s="48">
        <f t="shared" si="11"/>
        <v>0</v>
      </c>
      <c r="F54" s="49">
        <f t="shared" si="12"/>
        <v>0</v>
      </c>
      <c r="G54" s="48">
        <f t="shared" si="9"/>
        <v>0</v>
      </c>
      <c r="H54" s="53"/>
      <c r="I54" s="48">
        <f t="shared" si="15"/>
        <v>0</v>
      </c>
    </row>
    <row r="55" spans="3:9" ht="17.25" x14ac:dyDescent="0.35">
      <c r="C55" s="47" t="str">
        <f t="shared" si="5"/>
        <v/>
      </c>
      <c r="D55" s="48">
        <f t="shared" si="13"/>
        <v>0</v>
      </c>
      <c r="E55" s="48">
        <f t="shared" si="11"/>
        <v>0</v>
      </c>
      <c r="F55" s="49">
        <f t="shared" si="12"/>
        <v>0</v>
      </c>
      <c r="G55" s="48">
        <f t="shared" si="9"/>
        <v>0</v>
      </c>
      <c r="H55" s="53"/>
      <c r="I55" s="48">
        <f t="shared" si="15"/>
        <v>0</v>
      </c>
    </row>
    <row r="56" spans="3:9" ht="17.25" x14ac:dyDescent="0.35">
      <c r="C56" s="47" t="str">
        <f t="shared" si="5"/>
        <v/>
      </c>
      <c r="D56" s="48">
        <f t="shared" si="13"/>
        <v>0</v>
      </c>
      <c r="E56" s="48">
        <f t="shared" si="11"/>
        <v>0</v>
      </c>
      <c r="F56" s="49">
        <f t="shared" si="12"/>
        <v>0</v>
      </c>
      <c r="G56" s="48">
        <f t="shared" si="9"/>
        <v>0</v>
      </c>
      <c r="H56" s="53"/>
      <c r="I56" s="48">
        <f t="shared" si="15"/>
        <v>0</v>
      </c>
    </row>
    <row r="57" spans="3:9" ht="17.25" x14ac:dyDescent="0.35">
      <c r="C57" s="47" t="str">
        <f t="shared" si="5"/>
        <v/>
      </c>
      <c r="D57" s="48">
        <f t="shared" si="13"/>
        <v>0</v>
      </c>
      <c r="E57" s="48">
        <f t="shared" si="11"/>
        <v>0</v>
      </c>
      <c r="F57" s="49">
        <f t="shared" si="12"/>
        <v>0</v>
      </c>
      <c r="G57" s="48">
        <f t="shared" si="9"/>
        <v>0</v>
      </c>
      <c r="H57" s="53"/>
      <c r="I57" s="48">
        <f t="shared" ref="I57:I59" si="16">G57-H57</f>
        <v>0</v>
      </c>
    </row>
    <row r="58" spans="3:9" ht="17.25" x14ac:dyDescent="0.35">
      <c r="C58" s="47" t="str">
        <f t="shared" si="5"/>
        <v/>
      </c>
      <c r="D58" s="48">
        <f t="shared" si="13"/>
        <v>0</v>
      </c>
      <c r="E58" s="48">
        <f t="shared" si="11"/>
        <v>0</v>
      </c>
      <c r="F58" s="49">
        <f t="shared" si="12"/>
        <v>0</v>
      </c>
      <c r="G58" s="48">
        <f t="shared" si="9"/>
        <v>0</v>
      </c>
      <c r="H58" s="53"/>
      <c r="I58" s="48">
        <f t="shared" si="16"/>
        <v>0</v>
      </c>
    </row>
    <row r="59" spans="3:9" ht="18" thickBot="1" x14ac:dyDescent="0.4">
      <c r="C59" s="56" t="str">
        <f t="shared" si="5"/>
        <v/>
      </c>
      <c r="D59" s="50">
        <f t="shared" si="13"/>
        <v>0</v>
      </c>
      <c r="E59" s="50">
        <f t="shared" si="11"/>
        <v>0</v>
      </c>
      <c r="F59" s="51">
        <f t="shared" si="12"/>
        <v>0</v>
      </c>
      <c r="G59" s="50">
        <f t="shared" si="9"/>
        <v>0</v>
      </c>
      <c r="H59" s="54"/>
      <c r="I59" s="50">
        <f t="shared" si="16"/>
        <v>0</v>
      </c>
    </row>
    <row r="60" spans="3:9" ht="18" thickBot="1" x14ac:dyDescent="0.4">
      <c r="C60" s="39"/>
      <c r="D60" s="40" t="s">
        <v>20</v>
      </c>
      <c r="E60" s="57">
        <f>SUM(E12:E59)</f>
        <v>25537.742999501083</v>
      </c>
      <c r="F60" s="57">
        <f>SUM(F12:F59)</f>
        <v>29999.999999999996</v>
      </c>
      <c r="G60" s="58"/>
      <c r="H60" s="57">
        <f>SUM(H12:H59)</f>
        <v>10000</v>
      </c>
      <c r="I60" s="39"/>
    </row>
  </sheetData>
  <mergeCells count="7">
    <mergeCell ref="D10:D11"/>
    <mergeCell ref="C10:C11"/>
    <mergeCell ref="Q4:Y4"/>
    <mergeCell ref="H10:H11"/>
    <mergeCell ref="G10:G11"/>
    <mergeCell ref="F10:F11"/>
    <mergeCell ref="E10:E11"/>
  </mergeCells>
  <dataValidations count="1">
    <dataValidation type="list" allowBlank="1" showInputMessage="1" showErrorMessage="1" sqref="D6" xr:uid="{034F767A-90A1-4EE3-98ED-B02339364EF3}">
      <formula1>Meses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3558-6096-42E9-AB65-C8981A744DA2}">
  <dimension ref="C3:C6"/>
  <sheetViews>
    <sheetView workbookViewId="0">
      <selection activeCell="D12" sqref="D12"/>
    </sheetView>
  </sheetViews>
  <sheetFormatPr baseColWidth="10" defaultRowHeight="15" x14ac:dyDescent="0.25"/>
  <sheetData>
    <row r="3" spans="3:3" x14ac:dyDescent="0.25">
      <c r="C3">
        <v>12</v>
      </c>
    </row>
    <row r="4" spans="3:3" x14ac:dyDescent="0.25">
      <c r="C4">
        <v>24</v>
      </c>
    </row>
    <row r="5" spans="3:3" x14ac:dyDescent="0.25">
      <c r="C5">
        <v>36</v>
      </c>
    </row>
    <row r="6" spans="3:3" x14ac:dyDescent="0.25">
      <c r="C6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Cresdito Sin aporte extra</vt:lpstr>
      <vt:lpstr>Cresdito Interes y cuota fija</vt:lpstr>
      <vt:lpstr>Hoja1</vt:lpstr>
      <vt:lpstr>Meses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2022-01-13T19:05:57Z</dcterms:created>
  <dcterms:modified xsi:type="dcterms:W3CDTF">2023-01-13T20:42:46Z</dcterms:modified>
</cp:coreProperties>
</file>